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řehled 2026" sheetId="1" state="visible" r:id="rId1"/>
    <sheet name="Státní svátky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color rgb="00595959"/>
      <sz val="9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7" fillId="2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  <xf numFmtId="0" fontId="0" fillId="2" borderId="2" pivotButton="0" quotePrefix="0" xfId="0"/>
    <xf numFmtId="0" fontId="8" fillId="0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/>
    </xf>
    <xf numFmtId="0" fontId="0" fillId="7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2" customWidth="1" min="4" max="4"/>
    <col width="12" customWidth="1" min="5" max="5"/>
    <col width="14" customWidth="1" min="6" max="6"/>
    <col width="14" customWidth="1" min="7" max="7"/>
    <col width="45" customWidth="1" min="8" max="8"/>
  </cols>
  <sheetData>
    <row r="1" ht="28" customHeight="1">
      <c r="A1" s="1" t="inlineStr">
        <is>
          <t>VÝKAZ PRÁCE – PŘEHLED 2026   |   Šimon Jeleňák</t>
        </is>
      </c>
    </row>
    <row r="2" ht="18" customHeight="1">
      <c r="A2" s="2" t="inlineStr">
        <is>
          <t>Sazba: 400 Kč/hod  |  IČ: 43758207  |  Zdětín 151, 294 71 Benátky nad Jizerou</t>
        </is>
      </c>
    </row>
    <row r="3" ht="32" customHeight="1">
      <c r="A3" s="3" t="inlineStr">
        <is>
          <t>MĚSÍC</t>
        </is>
      </c>
      <c r="B3" s="3" t="inlineStr">
        <is>
          <t>Prac. dny</t>
        </is>
      </c>
      <c r="C3" s="3" t="inlineStr">
        <is>
          <t>Fond hod.
(bez svátků)</t>
        </is>
      </c>
      <c r="D3" s="3" t="inlineStr">
        <is>
          <t>Dovolená
(dny)</t>
        </is>
      </c>
      <c r="E3" s="3" t="inlineStr">
        <is>
          <t>Nemoc
(dny)</t>
        </is>
      </c>
      <c r="F3" s="3" t="inlineStr">
        <is>
          <t>Odprac.
hodiny</t>
        </is>
      </c>
      <c r="G3" s="3" t="inlineStr">
        <is>
          <t>Celkem
Kč</t>
        </is>
      </c>
      <c r="H3" s="3" t="inlineStr">
        <is>
          <t>Svátky v měsíci</t>
        </is>
      </c>
    </row>
    <row r="4" ht="18" customHeight="1">
      <c r="A4" s="4" t="inlineStr">
        <is>
          <t>Leden</t>
        </is>
      </c>
      <c r="B4" s="5" t="n">
        <v>21</v>
      </c>
      <c r="C4" s="6" t="n">
        <v>168</v>
      </c>
      <c r="D4" s="7" t="n">
        <v>0</v>
      </c>
      <c r="E4" s="7" t="n">
        <v>0</v>
      </c>
      <c r="F4" s="8">
        <f>(C4-(D4+E4)*8)</f>
        <v/>
      </c>
      <c r="G4" s="9">
        <f>F4*400</f>
        <v/>
      </c>
      <c r="H4" s="10" t="inlineStr">
        <is>
          <t>01.01 Nový rok</t>
        </is>
      </c>
    </row>
    <row r="5" ht="18" customHeight="1">
      <c r="A5" s="4" t="inlineStr">
        <is>
          <t>Únor</t>
        </is>
      </c>
      <c r="B5" s="5" t="n">
        <v>20</v>
      </c>
      <c r="C5" s="6" t="n">
        <v>160</v>
      </c>
      <c r="D5" s="7" t="n">
        <v>0</v>
      </c>
      <c r="E5" s="7" t="n">
        <v>0</v>
      </c>
      <c r="F5" s="8">
        <f>(C5-(D5+E5)*8)</f>
        <v/>
      </c>
      <c r="G5" s="9">
        <f>F5*400</f>
        <v/>
      </c>
      <c r="H5" s="11" t="inlineStr">
        <is>
          <t>–</t>
        </is>
      </c>
    </row>
    <row r="6" ht="18" customHeight="1">
      <c r="A6" s="4" t="inlineStr">
        <is>
          <t>Březen</t>
        </is>
      </c>
      <c r="B6" s="5" t="n">
        <v>22</v>
      </c>
      <c r="C6" s="6" t="n">
        <v>176</v>
      </c>
      <c r="D6" s="7" t="n">
        <v>0</v>
      </c>
      <c r="E6" s="7" t="n">
        <v>0</v>
      </c>
      <c r="F6" s="8">
        <f>(C6-(D6+E6)*8)</f>
        <v/>
      </c>
      <c r="G6" s="9">
        <f>F6*400</f>
        <v/>
      </c>
      <c r="H6" s="11" t="inlineStr">
        <is>
          <t>–</t>
        </is>
      </c>
    </row>
    <row r="7" ht="18" customHeight="1">
      <c r="A7" s="4" t="inlineStr">
        <is>
          <t>Duben</t>
        </is>
      </c>
      <c r="B7" s="5" t="n">
        <v>20</v>
      </c>
      <c r="C7" s="6" t="n">
        <v>160</v>
      </c>
      <c r="D7" s="7" t="n">
        <v>0</v>
      </c>
      <c r="E7" s="7" t="n">
        <v>0</v>
      </c>
      <c r="F7" s="8">
        <f>(C7-(D7+E7)*8)</f>
        <v/>
      </c>
      <c r="G7" s="9">
        <f>F7*400</f>
        <v/>
      </c>
      <c r="H7" s="10" t="inlineStr">
        <is>
          <t>03.04 Velký pátek, 06.04 Velikonoční pondělí</t>
        </is>
      </c>
    </row>
    <row r="8" ht="18" customHeight="1">
      <c r="A8" s="4" t="inlineStr">
        <is>
          <t>Květen</t>
        </is>
      </c>
      <c r="B8" s="5" t="n">
        <v>19</v>
      </c>
      <c r="C8" s="6" t="n">
        <v>152</v>
      </c>
      <c r="D8" s="7" t="n">
        <v>0</v>
      </c>
      <c r="E8" s="7" t="n">
        <v>0</v>
      </c>
      <c r="F8" s="8">
        <f>(C8-(D8+E8)*8)</f>
        <v/>
      </c>
      <c r="G8" s="9">
        <f>F8*400</f>
        <v/>
      </c>
      <c r="H8" s="10" t="inlineStr">
        <is>
          <t>01.05 Svátek práce, 08.05 Den vítězství</t>
        </is>
      </c>
    </row>
    <row r="9" ht="18" customHeight="1">
      <c r="A9" s="4" t="inlineStr">
        <is>
          <t>Červen</t>
        </is>
      </c>
      <c r="B9" s="5" t="n">
        <v>22</v>
      </c>
      <c r="C9" s="6" t="n">
        <v>176</v>
      </c>
      <c r="D9" s="7" t="n">
        <v>0</v>
      </c>
      <c r="E9" s="7" t="n">
        <v>0</v>
      </c>
      <c r="F9" s="8">
        <f>(C9-(D9+E9)*8)</f>
        <v/>
      </c>
      <c r="G9" s="9">
        <f>F9*400</f>
        <v/>
      </c>
      <c r="H9" s="11" t="inlineStr">
        <is>
          <t>–</t>
        </is>
      </c>
    </row>
    <row r="10" ht="18" customHeight="1">
      <c r="A10" s="4" t="inlineStr">
        <is>
          <t>Červenec</t>
        </is>
      </c>
      <c r="B10" s="5" t="n">
        <v>22</v>
      </c>
      <c r="C10" s="6" t="n">
        <v>176</v>
      </c>
      <c r="D10" s="7" t="n">
        <v>0</v>
      </c>
      <c r="E10" s="7" t="n">
        <v>0</v>
      </c>
      <c r="F10" s="8">
        <f>(C10-(D10+E10)*8)</f>
        <v/>
      </c>
      <c r="G10" s="9">
        <f>F10*400</f>
        <v/>
      </c>
      <c r="H10" s="10" t="inlineStr">
        <is>
          <t>05.07 Cyril a Metoděj, 06.07 Jan Hus</t>
        </is>
      </c>
    </row>
    <row r="11" ht="18" customHeight="1">
      <c r="A11" s="4" t="inlineStr">
        <is>
          <t>Srpen</t>
        </is>
      </c>
      <c r="B11" s="5" t="n">
        <v>21</v>
      </c>
      <c r="C11" s="6" t="n">
        <v>168</v>
      </c>
      <c r="D11" s="7" t="n">
        <v>0</v>
      </c>
      <c r="E11" s="7" t="n">
        <v>0</v>
      </c>
      <c r="F11" s="8">
        <f>(C11-(D11+E11)*8)</f>
        <v/>
      </c>
      <c r="G11" s="9">
        <f>F11*400</f>
        <v/>
      </c>
      <c r="H11" s="11" t="inlineStr">
        <is>
          <t>–</t>
        </is>
      </c>
    </row>
    <row r="12" ht="18" customHeight="1">
      <c r="A12" s="4" t="inlineStr">
        <is>
          <t>Září</t>
        </is>
      </c>
      <c r="B12" s="5" t="n">
        <v>21</v>
      </c>
      <c r="C12" s="6" t="n">
        <v>168</v>
      </c>
      <c r="D12" s="7" t="n">
        <v>0</v>
      </c>
      <c r="E12" s="7" t="n">
        <v>0</v>
      </c>
      <c r="F12" s="8">
        <f>(C12-(D12+E12)*8)</f>
        <v/>
      </c>
      <c r="G12" s="9">
        <f>F12*400</f>
        <v/>
      </c>
      <c r="H12" s="10" t="inlineStr">
        <is>
          <t>28.09 Den české státnosti</t>
        </is>
      </c>
    </row>
    <row r="13" ht="18" customHeight="1">
      <c r="A13" s="4" t="inlineStr">
        <is>
          <t>Říjen</t>
        </is>
      </c>
      <c r="B13" s="5" t="n">
        <v>21</v>
      </c>
      <c r="C13" s="6" t="n">
        <v>168</v>
      </c>
      <c r="D13" s="7" t="n">
        <v>0</v>
      </c>
      <c r="E13" s="7" t="n">
        <v>0</v>
      </c>
      <c r="F13" s="8">
        <f>(C13-(D13+E13)*8)</f>
        <v/>
      </c>
      <c r="G13" s="9">
        <f>F13*400</f>
        <v/>
      </c>
      <c r="H13" s="10" t="inlineStr">
        <is>
          <t>28.10 Den vzniku ČSR</t>
        </is>
      </c>
    </row>
    <row r="14" ht="18" customHeight="1">
      <c r="A14" s="4" t="inlineStr">
        <is>
          <t>Listopad</t>
        </is>
      </c>
      <c r="B14" s="5" t="n">
        <v>20</v>
      </c>
      <c r="C14" s="6" t="n">
        <v>160</v>
      </c>
      <c r="D14" s="7" t="n">
        <v>0</v>
      </c>
      <c r="E14" s="7" t="n">
        <v>0</v>
      </c>
      <c r="F14" s="8">
        <f>(C14-(D14+E14)*8)</f>
        <v/>
      </c>
      <c r="G14" s="9">
        <f>F14*400</f>
        <v/>
      </c>
      <c r="H14" s="10" t="inlineStr">
        <is>
          <t>17.11 Den boje za svobodu</t>
        </is>
      </c>
    </row>
    <row r="15" ht="18" customHeight="1">
      <c r="A15" s="4" t="inlineStr">
        <is>
          <t>Prosinec</t>
        </is>
      </c>
      <c r="B15" s="5" t="n">
        <v>21</v>
      </c>
      <c r="C15" s="6" t="n">
        <v>168</v>
      </c>
      <c r="D15" s="7" t="n">
        <v>0</v>
      </c>
      <c r="E15" s="7" t="n">
        <v>0</v>
      </c>
      <c r="F15" s="8">
        <f>(C15-(D15+E15)*8)</f>
        <v/>
      </c>
      <c r="G15" s="9">
        <f>F15*400</f>
        <v/>
      </c>
      <c r="H15" s="10" t="inlineStr">
        <is>
          <t>24.12 Štědrý den, 25.12 1. svátek vánoční, 26.12 2. svátek vánoční</t>
        </is>
      </c>
    </row>
    <row r="16" ht="22" customHeight="1">
      <c r="A16" s="12" t="inlineStr">
        <is>
          <t>CELKEM 2026</t>
        </is>
      </c>
      <c r="D16" s="12">
        <f>SUM(D4:D15)</f>
        <v/>
      </c>
      <c r="E16" s="12">
        <f>SUM(E4:E15)</f>
        <v/>
      </c>
      <c r="F16" s="12">
        <f>SUM(F4:F15)</f>
        <v/>
      </c>
      <c r="G16" s="13">
        <f>SUM(G4:G15)</f>
        <v/>
      </c>
      <c r="H16" s="14" t="n"/>
    </row>
    <row r="18">
      <c r="A18" s="15" t="inlineStr">
        <is>
          <t>💡  Žluté buňky (D, E) vyplňte ručně počtem dní dovolené / nemoci. Ostatní hodnoty se přepočítají automaticky.</t>
        </is>
      </c>
    </row>
    <row r="19">
      <c r="A19" s="15" t="inlineStr">
        <is>
          <t>Fond hodin = pracovní dny × 8 hod.  |  Odprac. hodiny = (prac. dny − dovolená − nemoc) × 8</t>
        </is>
      </c>
    </row>
  </sheetData>
  <mergeCells count="5">
    <mergeCell ref="A18:H18"/>
    <mergeCell ref="A2:H2"/>
    <mergeCell ref="A19:H19"/>
    <mergeCell ref="A1:H1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</cols>
  <sheetData>
    <row r="1" ht="24" customHeight="1">
      <c r="A1" s="16" t="inlineStr">
        <is>
          <t>STÁTNÍ SVÁTKY ČR 2026</t>
        </is>
      </c>
    </row>
    <row r="2">
      <c r="A2" s="17" t="inlineStr">
        <is>
          <t>Datum</t>
        </is>
      </c>
      <c r="B2" s="17" t="inlineStr">
        <is>
          <t>Den</t>
        </is>
      </c>
      <c r="C2" s="17" t="inlineStr">
        <is>
          <t>Název</t>
        </is>
      </c>
    </row>
    <row r="3">
      <c r="A3" s="18" t="inlineStr">
        <is>
          <t>01.01.2026</t>
        </is>
      </c>
      <c r="B3" s="18" t="inlineStr">
        <is>
          <t>Čtvrtek</t>
        </is>
      </c>
      <c r="C3" s="19" t="inlineStr">
        <is>
          <t>Nový rok</t>
        </is>
      </c>
    </row>
    <row r="4">
      <c r="A4" s="18" t="inlineStr">
        <is>
          <t>03.04.2026</t>
        </is>
      </c>
      <c r="B4" s="18" t="inlineStr">
        <is>
          <t>Pátek</t>
        </is>
      </c>
      <c r="C4" s="19" t="inlineStr">
        <is>
          <t>Velký pátek</t>
        </is>
      </c>
    </row>
    <row r="5">
      <c r="A5" s="18" t="inlineStr">
        <is>
          <t>06.04.2026</t>
        </is>
      </c>
      <c r="B5" s="18" t="inlineStr">
        <is>
          <t>Pondělí</t>
        </is>
      </c>
      <c r="C5" s="19" t="inlineStr">
        <is>
          <t>Velikonoční pondělí</t>
        </is>
      </c>
    </row>
    <row r="6">
      <c r="A6" s="18" t="inlineStr">
        <is>
          <t>01.05.2026</t>
        </is>
      </c>
      <c r="B6" s="18" t="inlineStr">
        <is>
          <t>Pátek</t>
        </is>
      </c>
      <c r="C6" s="19" t="inlineStr">
        <is>
          <t>Svátek práce</t>
        </is>
      </c>
    </row>
    <row r="7">
      <c r="A7" s="18" t="inlineStr">
        <is>
          <t>08.05.2026</t>
        </is>
      </c>
      <c r="B7" s="18" t="inlineStr">
        <is>
          <t>Pátek</t>
        </is>
      </c>
      <c r="C7" s="19" t="inlineStr">
        <is>
          <t>Den vítězství</t>
        </is>
      </c>
    </row>
    <row r="8">
      <c r="A8" s="20" t="inlineStr">
        <is>
          <t>05.07.2026</t>
        </is>
      </c>
      <c r="B8" s="20" t="inlineStr">
        <is>
          <t>Neděle</t>
        </is>
      </c>
      <c r="C8" s="21" t="inlineStr">
        <is>
          <t>Cyril a Metoděj</t>
        </is>
      </c>
    </row>
    <row r="9">
      <c r="A9" s="18" t="inlineStr">
        <is>
          <t>06.07.2026</t>
        </is>
      </c>
      <c r="B9" s="18" t="inlineStr">
        <is>
          <t>Pondělí</t>
        </is>
      </c>
      <c r="C9" s="19" t="inlineStr">
        <is>
          <t>Jan Hus</t>
        </is>
      </c>
    </row>
    <row r="10">
      <c r="A10" s="18" t="inlineStr">
        <is>
          <t>28.09.2026</t>
        </is>
      </c>
      <c r="B10" s="18" t="inlineStr">
        <is>
          <t>Pondělí</t>
        </is>
      </c>
      <c r="C10" s="19" t="inlineStr">
        <is>
          <t>Den české státnosti</t>
        </is>
      </c>
    </row>
    <row r="11">
      <c r="A11" s="18" t="inlineStr">
        <is>
          <t>28.10.2026</t>
        </is>
      </c>
      <c r="B11" s="18" t="inlineStr">
        <is>
          <t>Středa</t>
        </is>
      </c>
      <c r="C11" s="19" t="inlineStr">
        <is>
          <t>Den vzniku ČSR</t>
        </is>
      </c>
    </row>
    <row r="12">
      <c r="A12" s="18" t="inlineStr">
        <is>
          <t>17.11.2026</t>
        </is>
      </c>
      <c r="B12" s="18" t="inlineStr">
        <is>
          <t>Úterý</t>
        </is>
      </c>
      <c r="C12" s="19" t="inlineStr">
        <is>
          <t>Den boje za svobodu</t>
        </is>
      </c>
    </row>
    <row r="13">
      <c r="A13" s="18" t="inlineStr">
        <is>
          <t>24.12.2026</t>
        </is>
      </c>
      <c r="B13" s="18" t="inlineStr">
        <is>
          <t>Čtvrtek</t>
        </is>
      </c>
      <c r="C13" s="19" t="inlineStr">
        <is>
          <t>Štědrý den</t>
        </is>
      </c>
    </row>
    <row r="14">
      <c r="A14" s="18" t="inlineStr">
        <is>
          <t>25.12.2026</t>
        </is>
      </c>
      <c r="B14" s="18" t="inlineStr">
        <is>
          <t>Pátek</t>
        </is>
      </c>
      <c r="C14" s="19" t="inlineStr">
        <is>
          <t>1. svátek vánoční</t>
        </is>
      </c>
    </row>
    <row r="15">
      <c r="A15" s="20" t="inlineStr">
        <is>
          <t>26.12.2026</t>
        </is>
      </c>
      <c r="B15" s="20" t="inlineStr">
        <is>
          <t>Sobota</t>
        </is>
      </c>
      <c r="C15" s="21" t="inlineStr">
        <is>
          <t>2. svátek vánoční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2026-06-12T07:25:26Z</dcterms:created>
  <dcterms:modified xsi:type="dcterms:W3CDTF">2026-06-12T07:25:26Z</dcterms:modified>
</cp:coreProperties>
</file>